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2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3" i="1" l="1"/>
  <c r="O4" i="1"/>
  <c r="O10" i="1"/>
  <c r="O24" i="1"/>
  <c r="O27" i="1"/>
  <c r="O13" i="1"/>
  <c r="K41" i="1" l="1"/>
  <c r="M41" i="1"/>
  <c r="J41" i="1"/>
  <c r="J37" i="1"/>
  <c r="H37" i="1"/>
  <c r="L3" i="1"/>
  <c r="L2" i="1"/>
  <c r="N5" i="1"/>
  <c r="N4" i="1"/>
  <c r="N7" i="1"/>
  <c r="N6" i="1"/>
  <c r="N20" i="1"/>
  <c r="N19" i="1"/>
  <c r="N18" i="1"/>
  <c r="N17" i="1"/>
  <c r="N16" i="1"/>
  <c r="N15" i="1"/>
  <c r="N14" i="1"/>
  <c r="N13" i="1"/>
  <c r="N12" i="1"/>
  <c r="N11" i="1"/>
  <c r="N10" i="1"/>
  <c r="N9" i="1"/>
  <c r="L24" i="1"/>
  <c r="L25" i="1"/>
  <c r="L26" i="1"/>
  <c r="L27" i="1"/>
  <c r="L28" i="1"/>
  <c r="L29" i="1"/>
  <c r="L30" i="1"/>
  <c r="L31" i="1"/>
  <c r="L32" i="1"/>
  <c r="L33" i="1"/>
  <c r="L34" i="1"/>
  <c r="L23" i="1"/>
  <c r="J36" i="1"/>
</calcChain>
</file>

<file path=xl/sharedStrings.xml><?xml version="1.0" encoding="utf-8"?>
<sst xmlns="http://schemas.openxmlformats.org/spreadsheetml/2006/main" count="106" uniqueCount="52">
  <si>
    <t>Eye "X"</t>
  </si>
  <si>
    <t>Eye "Y"</t>
  </si>
  <si>
    <t>Mouth</t>
  </si>
  <si>
    <t>Articulating Neck(Haut/Bas)</t>
  </si>
  <si>
    <t>Head Rotation(Droite/Gauche)</t>
  </si>
  <si>
    <t>Rolling Neck Left</t>
  </si>
  <si>
    <t>Rolling Neck Right</t>
  </si>
  <si>
    <t>Shoulder right</t>
  </si>
  <si>
    <t>Bicep Right</t>
  </si>
  <si>
    <t>Rotate Right</t>
  </si>
  <si>
    <t>Omoplate Right</t>
  </si>
  <si>
    <t>Auriculaire Right</t>
  </si>
  <si>
    <t>Annulaire Right</t>
  </si>
  <si>
    <t>Majeur Right</t>
  </si>
  <si>
    <t>Index Right</t>
  </si>
  <si>
    <t>Pouce Right</t>
  </si>
  <si>
    <t>Shoulder Left</t>
  </si>
  <si>
    <t>Bicep Left</t>
  </si>
  <si>
    <t>Rotate Left</t>
  </si>
  <si>
    <t>Poignet Right</t>
  </si>
  <si>
    <t>Omoplate Left</t>
  </si>
  <si>
    <t>Poignet Left</t>
  </si>
  <si>
    <t>Auriculaire Left</t>
  </si>
  <si>
    <t>Annulaire Left</t>
  </si>
  <si>
    <t>Majeur Left</t>
  </si>
  <si>
    <t>Index Left</t>
  </si>
  <si>
    <t>Pouce Left</t>
  </si>
  <si>
    <t>Low Master</t>
  </si>
  <si>
    <t>Low Slave</t>
  </si>
  <si>
    <t>Mid Master</t>
  </si>
  <si>
    <t>Mid Slave</t>
  </si>
  <si>
    <t>Ref</t>
  </si>
  <si>
    <t>JX-PDI2060MG</t>
  </si>
  <si>
    <t>HS-805BB</t>
  </si>
  <si>
    <t>MG946R</t>
  </si>
  <si>
    <t>Prix</t>
  </si>
  <si>
    <t>DC</t>
  </si>
  <si>
    <t>4,8 V to 6V</t>
  </si>
  <si>
    <t>SG90</t>
  </si>
  <si>
    <t>4,8 V</t>
  </si>
  <si>
    <t>6 V to 7,4V</t>
  </si>
  <si>
    <t>7 V to 7,4V</t>
  </si>
  <si>
    <t>Current mode IDLE</t>
  </si>
  <si>
    <t>No load operating current draw</t>
  </si>
  <si>
    <t>Stall current draw</t>
  </si>
  <si>
    <t>Courant Gauche</t>
  </si>
  <si>
    <t>Courant droite</t>
  </si>
  <si>
    <t>Courant Arduino Central</t>
  </si>
  <si>
    <t>NeoPixel</t>
  </si>
  <si>
    <t>NeoPixel Ring avec 24 LED</t>
  </si>
  <si>
    <t>4 V à 6 V</t>
  </si>
  <si>
    <t>Modules DC-DC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</si>
</sst>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2" borderId="12" xfId="0" applyFill="1" applyBorder="1" applyAlignment="1">
      <alignment horizontal="center" vertical="center"/>
    </xf>
    <xf numFmtId="0" fontId="0" fillId="2" borderId="3" xfId="0" applyFill="1" applyBorder="1"/>
    <xf numFmtId="0" fontId="0" fillId="2" borderId="7" xfId="0" applyFill="1" applyBorder="1"/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4" xfId="0" applyFill="1" applyBorder="1"/>
    <xf numFmtId="0" fontId="0" fillId="3" borderId="6" xfId="0" applyFill="1" applyBorder="1"/>
    <xf numFmtId="0" fontId="0" fillId="3" borderId="12" xfId="0" applyFill="1" applyBorder="1" applyAlignment="1">
      <alignment horizontal="center" vertical="center"/>
    </xf>
    <xf numFmtId="0" fontId="0" fillId="3" borderId="3" xfId="0" applyFill="1" applyBorder="1"/>
    <xf numFmtId="0" fontId="0" fillId="3" borderId="7" xfId="0" applyFill="1" applyBorder="1"/>
    <xf numFmtId="0" fontId="0" fillId="3" borderId="13" xfId="0" applyFill="1" applyBorder="1" applyAlignment="1">
      <alignment horizontal="center" vertical="center"/>
    </xf>
    <xf numFmtId="0" fontId="0" fillId="3" borderId="8" xfId="0" applyFill="1" applyBorder="1"/>
    <xf numFmtId="0" fontId="0" fillId="3" borderId="10" xfId="0" applyFill="1" applyBorder="1"/>
    <xf numFmtId="0" fontId="0" fillId="3" borderId="14" xfId="0" applyFill="1" applyBorder="1" applyAlignment="1">
      <alignment horizontal="center" vertical="center"/>
    </xf>
    <xf numFmtId="0" fontId="0" fillId="5" borderId="4" xfId="0" applyFill="1" applyBorder="1"/>
    <xf numFmtId="0" fontId="0" fillId="5" borderId="6" xfId="0" applyFill="1" applyBorder="1"/>
    <xf numFmtId="0" fontId="0" fillId="5" borderId="12" xfId="0" applyFill="1" applyBorder="1" applyAlignment="1">
      <alignment horizontal="center" vertical="center"/>
    </xf>
    <xf numFmtId="0" fontId="0" fillId="5" borderId="3" xfId="0" applyFill="1" applyBorder="1"/>
    <xf numFmtId="0" fontId="0" fillId="5" borderId="7" xfId="0" applyFill="1" applyBorder="1"/>
    <xf numFmtId="0" fontId="0" fillId="5" borderId="13" xfId="0" applyFill="1" applyBorder="1" applyAlignment="1">
      <alignment horizontal="center" vertical="center"/>
    </xf>
    <xf numFmtId="0" fontId="0" fillId="5" borderId="8" xfId="0" applyFill="1" applyBorder="1"/>
    <xf numFmtId="0" fontId="0" fillId="5" borderId="10" xfId="0" applyFill="1" applyBorder="1"/>
    <xf numFmtId="0" fontId="0" fillId="5" borderId="14" xfId="0" applyFill="1" applyBorder="1" applyAlignment="1">
      <alignment horizontal="center" vertical="center"/>
    </xf>
    <xf numFmtId="0" fontId="0" fillId="6" borderId="4" xfId="0" applyFill="1" applyBorder="1"/>
    <xf numFmtId="0" fontId="0" fillId="6" borderId="6" xfId="0" applyFill="1" applyBorder="1"/>
    <xf numFmtId="0" fontId="0" fillId="6" borderId="12" xfId="0" applyFill="1" applyBorder="1" applyAlignment="1">
      <alignment horizontal="center" vertical="center"/>
    </xf>
    <xf numFmtId="0" fontId="0" fillId="6" borderId="3" xfId="0" applyFill="1" applyBorder="1"/>
    <xf numFmtId="0" fontId="0" fillId="6" borderId="7" xfId="0" applyFill="1" applyBorder="1"/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4" xfId="0" applyFill="1" applyBorder="1"/>
    <xf numFmtId="0" fontId="0" fillId="7" borderId="6" xfId="0" applyFill="1" applyBorder="1"/>
    <xf numFmtId="0" fontId="0" fillId="7" borderId="12" xfId="0" applyFill="1" applyBorder="1" applyAlignment="1">
      <alignment horizontal="center" vertical="center"/>
    </xf>
    <xf numFmtId="0" fontId="0" fillId="7" borderId="3" xfId="0" applyFill="1" applyBorder="1"/>
    <xf numFmtId="0" fontId="0" fillId="7" borderId="7" xfId="0" applyFill="1" applyBorder="1"/>
    <xf numFmtId="0" fontId="0" fillId="7" borderId="13" xfId="0" applyFill="1" applyBorder="1" applyAlignment="1">
      <alignment horizontal="center" vertical="center"/>
    </xf>
    <xf numFmtId="0" fontId="0" fillId="7" borderId="8" xfId="0" applyFill="1" applyBorder="1"/>
    <xf numFmtId="0" fontId="0" fillId="7" borderId="10" xfId="0" applyFill="1" applyBorder="1"/>
    <xf numFmtId="0" fontId="0" fillId="7" borderId="14" xfId="0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11" xfId="0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0" fontId="0" fillId="4" borderId="2" xfId="0" applyFill="1" applyBorder="1" applyAlignment="1">
      <alignment horizontal="right" vertical="center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1:H40" totalsRowShown="0" headerRowDxfId="8" dataDxfId="7">
  <autoFilter ref="C1:H40"/>
  <tableColumns count="6">
    <tableColumn id="1" name="Ref" dataDxfId="6"/>
    <tableColumn id="2" name="Prix" dataDxfId="5"/>
    <tableColumn id="3" name="DC" dataDxfId="4"/>
    <tableColumn id="4" name="Current mode IDLE" dataDxfId="3"/>
    <tableColumn id="5" name="No load operating current draw" dataDxfId="2"/>
    <tableColumn id="6" name="Stall current draw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1"/>
  <sheetViews>
    <sheetView tabSelected="1" topLeftCell="H1" zoomScale="85" zoomScaleNormal="85" workbookViewId="0">
      <selection activeCell="O24" sqref="O24:O26"/>
    </sheetView>
  </sheetViews>
  <sheetFormatPr defaultRowHeight="15" x14ac:dyDescent="0.25"/>
  <cols>
    <col min="2" max="2" width="28.5703125" bestFit="1" customWidth="1"/>
    <col min="3" max="3" width="24.28515625" bestFit="1" customWidth="1"/>
    <col min="4" max="5" width="11" customWidth="1"/>
    <col min="6" max="6" width="22.28515625" bestFit="1" customWidth="1"/>
    <col min="7" max="7" width="31.42578125" bestFit="1" customWidth="1"/>
    <col min="8" max="8" width="19" bestFit="1" customWidth="1"/>
    <col min="10" max="10" width="14.5703125" customWidth="1"/>
  </cols>
  <sheetData>
    <row r="1" spans="2:16" x14ac:dyDescent="0.25">
      <c r="C1" s="1" t="s">
        <v>31</v>
      </c>
      <c r="D1" s="1" t="s">
        <v>35</v>
      </c>
      <c r="E1" s="1" t="s">
        <v>36</v>
      </c>
      <c r="F1" s="1" t="s">
        <v>42</v>
      </c>
      <c r="G1" s="2" t="s">
        <v>43</v>
      </c>
      <c r="H1" s="2" t="s">
        <v>44</v>
      </c>
      <c r="I1" s="12" t="s">
        <v>47</v>
      </c>
      <c r="J1" s="13"/>
      <c r="K1" s="12" t="s">
        <v>45</v>
      </c>
      <c r="L1" s="13"/>
      <c r="M1" s="12" t="s">
        <v>46</v>
      </c>
      <c r="N1" s="13"/>
      <c r="O1" s="12" t="s">
        <v>51</v>
      </c>
      <c r="P1" s="13"/>
    </row>
    <row r="2" spans="2:16" x14ac:dyDescent="0.25">
      <c r="B2" t="s">
        <v>0</v>
      </c>
      <c r="C2" s="1" t="s">
        <v>38</v>
      </c>
      <c r="D2" s="1">
        <v>3.6</v>
      </c>
      <c r="E2" s="1" t="s">
        <v>39</v>
      </c>
      <c r="F2" s="1">
        <v>0.01</v>
      </c>
      <c r="G2" s="1">
        <v>0.25</v>
      </c>
      <c r="H2" s="1">
        <v>0.36</v>
      </c>
      <c r="I2" s="3"/>
      <c r="J2" s="4"/>
      <c r="K2" s="3">
        <v>1</v>
      </c>
      <c r="L2" s="5">
        <f>Table1[[#This Row],[Stall current draw]]*K2</f>
        <v>0.36</v>
      </c>
      <c r="M2" s="3"/>
      <c r="N2" s="5"/>
      <c r="O2" s="3"/>
      <c r="P2" s="5"/>
    </row>
    <row r="3" spans="2:16" x14ac:dyDescent="0.25">
      <c r="B3" t="s">
        <v>1</v>
      </c>
      <c r="C3" s="1" t="s">
        <v>38</v>
      </c>
      <c r="D3" s="1">
        <v>3.6</v>
      </c>
      <c r="E3" s="1" t="s">
        <v>39</v>
      </c>
      <c r="F3" s="1">
        <v>0.01</v>
      </c>
      <c r="G3" s="1">
        <v>0.25</v>
      </c>
      <c r="H3" s="1">
        <v>0.36</v>
      </c>
      <c r="I3" s="6"/>
      <c r="J3" s="7"/>
      <c r="K3" s="6">
        <v>1</v>
      </c>
      <c r="L3" s="8">
        <f>Table1[[#This Row],[Stall current draw]]*K3</f>
        <v>0.36</v>
      </c>
      <c r="M3" s="6"/>
      <c r="N3" s="8"/>
      <c r="O3" s="6"/>
      <c r="P3" s="8"/>
    </row>
    <row r="4" spans="2:16" x14ac:dyDescent="0.25">
      <c r="B4" t="s">
        <v>3</v>
      </c>
      <c r="C4" s="1" t="s">
        <v>32</v>
      </c>
      <c r="D4" s="1">
        <v>69.989999999999995</v>
      </c>
      <c r="E4" s="1" t="s">
        <v>40</v>
      </c>
      <c r="F4" s="1">
        <v>8.0000000000000002E-3</v>
      </c>
      <c r="G4" s="1">
        <v>0.52</v>
      </c>
      <c r="H4" s="1">
        <v>6</v>
      </c>
      <c r="I4" s="6"/>
      <c r="J4" s="7"/>
      <c r="K4" s="6"/>
      <c r="L4" s="8"/>
      <c r="M4" s="47">
        <v>1</v>
      </c>
      <c r="N4" s="48">
        <f>Table1[[#This Row],[Stall current draw]]*M4</f>
        <v>6</v>
      </c>
      <c r="O4" s="49">
        <f>SUM(N4:N7)</f>
        <v>14.399999999999999</v>
      </c>
      <c r="P4" s="8"/>
    </row>
    <row r="5" spans="2:16" x14ac:dyDescent="0.25">
      <c r="B5" t="s">
        <v>4</v>
      </c>
      <c r="C5" s="1" t="s">
        <v>33</v>
      </c>
      <c r="D5" s="1">
        <v>48.62</v>
      </c>
      <c r="E5" s="1" t="s">
        <v>37</v>
      </c>
      <c r="F5" s="1">
        <v>8.0000000000000002E-3</v>
      </c>
      <c r="G5" s="1">
        <v>0.52</v>
      </c>
      <c r="H5" s="1">
        <v>6</v>
      </c>
      <c r="I5" s="6"/>
      <c r="J5" s="7"/>
      <c r="K5" s="6"/>
      <c r="L5" s="8"/>
      <c r="M5" s="50">
        <v>1</v>
      </c>
      <c r="N5" s="51">
        <f>Table1[[#This Row],[Stall current draw]]*M5</f>
        <v>6</v>
      </c>
      <c r="O5" s="52"/>
      <c r="P5" s="8"/>
    </row>
    <row r="6" spans="2:16" x14ac:dyDescent="0.25">
      <c r="B6" t="s">
        <v>5</v>
      </c>
      <c r="C6" s="1" t="s">
        <v>34</v>
      </c>
      <c r="D6" s="1">
        <v>11.63</v>
      </c>
      <c r="E6" s="1" t="s">
        <v>37</v>
      </c>
      <c r="F6" s="1">
        <v>0.01</v>
      </c>
      <c r="G6" s="1">
        <v>0.17</v>
      </c>
      <c r="H6" s="1">
        <v>1.2</v>
      </c>
      <c r="I6" s="6"/>
      <c r="J6" s="7"/>
      <c r="K6" s="6"/>
      <c r="L6" s="8"/>
      <c r="M6" s="50">
        <v>1</v>
      </c>
      <c r="N6" s="51">
        <f>Table1[[#This Row],[Stall current draw]]*M6</f>
        <v>1.2</v>
      </c>
      <c r="O6" s="52"/>
      <c r="P6" s="8"/>
    </row>
    <row r="7" spans="2:16" x14ac:dyDescent="0.25">
      <c r="B7" t="s">
        <v>6</v>
      </c>
      <c r="C7" s="1" t="s">
        <v>34</v>
      </c>
      <c r="D7" s="1">
        <v>11.63</v>
      </c>
      <c r="E7" s="1" t="s">
        <v>37</v>
      </c>
      <c r="F7" s="1">
        <v>0.01</v>
      </c>
      <c r="G7" s="1">
        <v>0.17</v>
      </c>
      <c r="H7" s="1">
        <v>1.2</v>
      </c>
      <c r="I7" s="6"/>
      <c r="J7" s="7"/>
      <c r="K7" s="6"/>
      <c r="L7" s="8"/>
      <c r="M7" s="53">
        <v>1</v>
      </c>
      <c r="N7" s="54">
        <f>Table1[[#This Row],[Stall current draw]]*M7</f>
        <v>1.2</v>
      </c>
      <c r="O7" s="55"/>
      <c r="P7" s="8"/>
    </row>
    <row r="8" spans="2:16" x14ac:dyDescent="0.25">
      <c r="C8" s="1"/>
      <c r="D8" s="1"/>
      <c r="E8" s="1"/>
      <c r="F8" s="1"/>
      <c r="G8" s="1"/>
      <c r="H8" s="1"/>
      <c r="I8" s="6"/>
      <c r="J8" s="7"/>
      <c r="K8" s="6"/>
      <c r="L8" s="8"/>
      <c r="M8" s="6"/>
      <c r="N8" s="8"/>
      <c r="O8" s="6"/>
      <c r="P8" s="8"/>
    </row>
    <row r="9" spans="2:16" x14ac:dyDescent="0.25">
      <c r="B9" t="s">
        <v>7</v>
      </c>
      <c r="C9" s="1" t="s">
        <v>32</v>
      </c>
      <c r="D9" s="1">
        <v>69.989999999999995</v>
      </c>
      <c r="E9" s="1" t="s">
        <v>40</v>
      </c>
      <c r="F9" s="1">
        <v>8.0000000000000002E-3</v>
      </c>
      <c r="G9" s="1">
        <v>0.52</v>
      </c>
      <c r="H9" s="1">
        <v>6</v>
      </c>
      <c r="I9" s="6"/>
      <c r="J9" s="7"/>
      <c r="K9" s="6"/>
      <c r="L9" s="8"/>
      <c r="M9" s="59">
        <v>1</v>
      </c>
      <c r="N9" s="60">
        <f>Table1[[#This Row],[Stall current draw]]*M9</f>
        <v>6</v>
      </c>
      <c r="O9" s="6"/>
      <c r="P9" s="8"/>
    </row>
    <row r="10" spans="2:16" x14ac:dyDescent="0.25">
      <c r="B10" t="s">
        <v>10</v>
      </c>
      <c r="C10" s="1" t="s">
        <v>32</v>
      </c>
      <c r="D10" s="1">
        <v>69.989999999999995</v>
      </c>
      <c r="E10" s="1" t="s">
        <v>40</v>
      </c>
      <c r="F10" s="1">
        <v>8.0000000000000002E-3</v>
      </c>
      <c r="G10" s="1">
        <v>0.52</v>
      </c>
      <c r="H10" s="1">
        <v>6</v>
      </c>
      <c r="I10" s="6"/>
      <c r="J10" s="7"/>
      <c r="K10" s="6"/>
      <c r="L10" s="8"/>
      <c r="M10" s="15">
        <v>1</v>
      </c>
      <c r="N10" s="16">
        <f>Table1[[#This Row],[Stall current draw]]*M10</f>
        <v>6</v>
      </c>
      <c r="O10" s="17">
        <f>SUM(N10:N12)</f>
        <v>18</v>
      </c>
      <c r="P10" s="8"/>
    </row>
    <row r="11" spans="2:16" x14ac:dyDescent="0.25">
      <c r="B11" t="s">
        <v>8</v>
      </c>
      <c r="C11" s="1" t="s">
        <v>33</v>
      </c>
      <c r="D11" s="1">
        <v>48.62</v>
      </c>
      <c r="E11" s="1" t="s">
        <v>37</v>
      </c>
      <c r="F11" s="1">
        <v>8.0000000000000002E-3</v>
      </c>
      <c r="G11" s="1">
        <v>0.52</v>
      </c>
      <c r="H11" s="1">
        <v>6</v>
      </c>
      <c r="I11" s="6"/>
      <c r="J11" s="7"/>
      <c r="K11" s="6"/>
      <c r="L11" s="8"/>
      <c r="M11" s="18">
        <v>1</v>
      </c>
      <c r="N11" s="19">
        <f>Table1[[#This Row],[Stall current draw]]*M11</f>
        <v>6</v>
      </c>
      <c r="O11" s="20"/>
      <c r="P11" s="8"/>
    </row>
    <row r="12" spans="2:16" ht="15.75" customHeight="1" x14ac:dyDescent="0.25">
      <c r="B12" t="s">
        <v>9</v>
      </c>
      <c r="C12" s="1" t="s">
        <v>33</v>
      </c>
      <c r="D12" s="1">
        <v>48.62</v>
      </c>
      <c r="E12" s="1" t="s">
        <v>37</v>
      </c>
      <c r="F12" s="1">
        <v>8.0000000000000002E-3</v>
      </c>
      <c r="G12" s="1">
        <v>0.52</v>
      </c>
      <c r="H12" s="1">
        <v>6</v>
      </c>
      <c r="I12" s="6"/>
      <c r="J12" s="7"/>
      <c r="K12" s="6"/>
      <c r="L12" s="8"/>
      <c r="M12" s="18">
        <v>1</v>
      </c>
      <c r="N12" s="19">
        <f>Table1[[#This Row],[Stall current draw]]*M12</f>
        <v>6</v>
      </c>
      <c r="O12" s="21"/>
      <c r="P12" s="8"/>
    </row>
    <row r="13" spans="2:16" x14ac:dyDescent="0.25">
      <c r="B13" t="s">
        <v>19</v>
      </c>
      <c r="C13" s="1" t="s">
        <v>34</v>
      </c>
      <c r="D13" s="1">
        <v>11.63</v>
      </c>
      <c r="E13" s="1" t="s">
        <v>37</v>
      </c>
      <c r="F13" s="1">
        <v>0.01</v>
      </c>
      <c r="G13" s="1">
        <v>0.17</v>
      </c>
      <c r="H13" s="1">
        <v>1.2</v>
      </c>
      <c r="I13" s="6"/>
      <c r="J13" s="7"/>
      <c r="K13" s="6"/>
      <c r="L13" s="8"/>
      <c r="M13" s="22">
        <v>1</v>
      </c>
      <c r="N13" s="23">
        <f>Table1[[#This Row],[Stall current draw]]*M13</f>
        <v>1.2</v>
      </c>
      <c r="O13" s="24">
        <f>SUM(N13:N20)</f>
        <v>19.2</v>
      </c>
      <c r="P13" s="8"/>
    </row>
    <row r="14" spans="2:16" x14ac:dyDescent="0.25">
      <c r="B14" t="s">
        <v>11</v>
      </c>
      <c r="C14" s="1" t="s">
        <v>34</v>
      </c>
      <c r="D14" s="1">
        <v>11.63</v>
      </c>
      <c r="E14" s="1" t="s">
        <v>37</v>
      </c>
      <c r="F14" s="1">
        <v>0.01</v>
      </c>
      <c r="G14" s="1">
        <v>0.17</v>
      </c>
      <c r="H14" s="1">
        <v>1.2</v>
      </c>
      <c r="I14" s="6"/>
      <c r="J14" s="7"/>
      <c r="K14" s="6"/>
      <c r="L14" s="8"/>
      <c r="M14" s="25">
        <v>1</v>
      </c>
      <c r="N14" s="26">
        <f>Table1[[#This Row],[Stall current draw]]*M14</f>
        <v>1.2</v>
      </c>
      <c r="O14" s="27"/>
      <c r="P14" s="8"/>
    </row>
    <row r="15" spans="2:16" x14ac:dyDescent="0.25">
      <c r="B15" t="s">
        <v>12</v>
      </c>
      <c r="C15" s="1" t="s">
        <v>34</v>
      </c>
      <c r="D15" s="1">
        <v>11.63</v>
      </c>
      <c r="E15" s="1" t="s">
        <v>37</v>
      </c>
      <c r="F15" s="1">
        <v>0.01</v>
      </c>
      <c r="G15" s="1">
        <v>0.17</v>
      </c>
      <c r="H15" s="1">
        <v>1.2</v>
      </c>
      <c r="I15" s="6"/>
      <c r="J15" s="7"/>
      <c r="K15" s="6"/>
      <c r="L15" s="8"/>
      <c r="M15" s="25">
        <v>1</v>
      </c>
      <c r="N15" s="26">
        <f>Table1[[#This Row],[Stall current draw]]*M15</f>
        <v>1.2</v>
      </c>
      <c r="O15" s="27"/>
      <c r="P15" s="8"/>
    </row>
    <row r="16" spans="2:16" x14ac:dyDescent="0.25">
      <c r="B16" t="s">
        <v>13</v>
      </c>
      <c r="C16" s="1" t="s">
        <v>34</v>
      </c>
      <c r="D16" s="1">
        <v>11.63</v>
      </c>
      <c r="E16" s="1" t="s">
        <v>37</v>
      </c>
      <c r="F16" s="1">
        <v>0.01</v>
      </c>
      <c r="G16" s="1">
        <v>0.17</v>
      </c>
      <c r="H16" s="1">
        <v>1.2</v>
      </c>
      <c r="I16" s="6"/>
      <c r="J16" s="7"/>
      <c r="K16" s="6"/>
      <c r="L16" s="8"/>
      <c r="M16" s="25">
        <v>1</v>
      </c>
      <c r="N16" s="26">
        <f>Table1[[#This Row],[Stall current draw]]*M16</f>
        <v>1.2</v>
      </c>
      <c r="O16" s="27"/>
      <c r="P16" s="8"/>
    </row>
    <row r="17" spans="2:16" x14ac:dyDescent="0.25">
      <c r="B17" t="s">
        <v>14</v>
      </c>
      <c r="C17" s="1" t="s">
        <v>34</v>
      </c>
      <c r="D17" s="1">
        <v>11.63</v>
      </c>
      <c r="E17" s="1" t="s">
        <v>37</v>
      </c>
      <c r="F17" s="1">
        <v>0.01</v>
      </c>
      <c r="G17" s="1">
        <v>0.17</v>
      </c>
      <c r="H17" s="1">
        <v>1.2</v>
      </c>
      <c r="I17" s="6"/>
      <c r="J17" s="7"/>
      <c r="K17" s="6"/>
      <c r="L17" s="8"/>
      <c r="M17" s="25">
        <v>1</v>
      </c>
      <c r="N17" s="26">
        <f>Table1[[#This Row],[Stall current draw]]*M17</f>
        <v>1.2</v>
      </c>
      <c r="O17" s="27"/>
      <c r="P17" s="8"/>
    </row>
    <row r="18" spans="2:16" x14ac:dyDescent="0.25">
      <c r="B18" t="s">
        <v>15</v>
      </c>
      <c r="C18" s="1" t="s">
        <v>34</v>
      </c>
      <c r="D18" s="1">
        <v>11.63</v>
      </c>
      <c r="E18" s="1" t="s">
        <v>37</v>
      </c>
      <c r="F18" s="1">
        <v>0.01</v>
      </c>
      <c r="G18" s="1">
        <v>0.17</v>
      </c>
      <c r="H18" s="1">
        <v>1.2</v>
      </c>
      <c r="I18" s="6"/>
      <c r="J18" s="7"/>
      <c r="K18" s="6"/>
      <c r="L18" s="8"/>
      <c r="M18" s="25">
        <v>1</v>
      </c>
      <c r="N18" s="26">
        <f>Table1[[#This Row],[Stall current draw]]*M18</f>
        <v>1.2</v>
      </c>
      <c r="O18" s="27"/>
      <c r="P18" s="8"/>
    </row>
    <row r="19" spans="2:16" x14ac:dyDescent="0.25">
      <c r="B19" t="s">
        <v>29</v>
      </c>
      <c r="C19" s="1" t="s">
        <v>32</v>
      </c>
      <c r="D19" s="1">
        <v>69.989999999999995</v>
      </c>
      <c r="E19" s="1" t="s">
        <v>40</v>
      </c>
      <c r="F19" s="1">
        <v>8.0000000000000002E-3</v>
      </c>
      <c r="G19" s="1">
        <v>0.52</v>
      </c>
      <c r="H19" s="1">
        <v>6</v>
      </c>
      <c r="I19" s="6"/>
      <c r="J19" s="7"/>
      <c r="K19" s="6"/>
      <c r="L19" s="8"/>
      <c r="M19" s="25">
        <v>1</v>
      </c>
      <c r="N19" s="26">
        <f>Table1[[#This Row],[Stall current draw]]*M19</f>
        <v>6</v>
      </c>
      <c r="O19" s="27"/>
      <c r="P19" s="8"/>
    </row>
    <row r="20" spans="2:16" x14ac:dyDescent="0.25">
      <c r="B20" t="s">
        <v>30</v>
      </c>
      <c r="C20" s="1" t="s">
        <v>32</v>
      </c>
      <c r="D20" s="1">
        <v>69.989999999999995</v>
      </c>
      <c r="E20" s="1" t="s">
        <v>40</v>
      </c>
      <c r="F20" s="1">
        <v>8.0000000000000002E-3</v>
      </c>
      <c r="G20" s="1">
        <v>0.52</v>
      </c>
      <c r="H20" s="1">
        <v>6</v>
      </c>
      <c r="I20" s="6"/>
      <c r="J20" s="7"/>
      <c r="K20" s="6"/>
      <c r="L20" s="8"/>
      <c r="M20" s="28">
        <v>1</v>
      </c>
      <c r="N20" s="29">
        <f>Table1[[#This Row],[Stall current draw]]*M20</f>
        <v>6</v>
      </c>
      <c r="O20" s="30"/>
      <c r="P20" s="8"/>
    </row>
    <row r="21" spans="2:16" x14ac:dyDescent="0.25">
      <c r="I21" s="6"/>
      <c r="J21" s="7"/>
      <c r="K21" s="6"/>
      <c r="L21" s="8"/>
      <c r="M21" s="6"/>
      <c r="N21" s="8"/>
      <c r="O21" s="6"/>
      <c r="P21" s="8"/>
    </row>
    <row r="22" spans="2:16" x14ac:dyDescent="0.25">
      <c r="I22" s="6"/>
      <c r="J22" s="7"/>
      <c r="K22" s="6"/>
      <c r="L22" s="8"/>
      <c r="M22" s="6"/>
      <c r="N22" s="8"/>
      <c r="O22" s="6"/>
      <c r="P22" s="8"/>
    </row>
    <row r="23" spans="2:16" x14ac:dyDescent="0.25">
      <c r="B23" t="s">
        <v>16</v>
      </c>
      <c r="C23" s="1" t="s">
        <v>32</v>
      </c>
      <c r="D23" s="1">
        <v>69.989999999999995</v>
      </c>
      <c r="E23" s="1" t="s">
        <v>40</v>
      </c>
      <c r="F23" s="1">
        <v>8.0000000000000002E-3</v>
      </c>
      <c r="G23" s="1">
        <v>0.52</v>
      </c>
      <c r="H23" s="1">
        <v>6</v>
      </c>
      <c r="I23" s="6"/>
      <c r="J23" s="7"/>
      <c r="K23" s="56">
        <v>1</v>
      </c>
      <c r="L23" s="57">
        <f>Table1[[#This Row],[Stall current draw]]*K23</f>
        <v>6</v>
      </c>
      <c r="M23" s="56"/>
      <c r="N23" s="57"/>
      <c r="O23" s="58">
        <f>SUM(L23,N9)</f>
        <v>12</v>
      </c>
      <c r="P23" s="8"/>
    </row>
    <row r="24" spans="2:16" x14ac:dyDescent="0.25">
      <c r="B24" t="s">
        <v>20</v>
      </c>
      <c r="C24" s="1" t="s">
        <v>32</v>
      </c>
      <c r="D24" s="1">
        <v>69.989999999999995</v>
      </c>
      <c r="E24" s="1" t="s">
        <v>41</v>
      </c>
      <c r="F24" s="1">
        <v>8.0000000000000002E-3</v>
      </c>
      <c r="G24" s="1">
        <v>0.52</v>
      </c>
      <c r="H24" s="1">
        <v>6</v>
      </c>
      <c r="I24" s="6"/>
      <c r="J24" s="7"/>
      <c r="K24" s="40">
        <v>1</v>
      </c>
      <c r="L24" s="41">
        <f>Table1[[#This Row],[Stall current draw]]*K24</f>
        <v>6</v>
      </c>
      <c r="M24" s="40"/>
      <c r="N24" s="41"/>
      <c r="O24" s="42">
        <f>SUM(L24:L26)</f>
        <v>18</v>
      </c>
      <c r="P24" s="8"/>
    </row>
    <row r="25" spans="2:16" x14ac:dyDescent="0.25">
      <c r="B25" t="s">
        <v>17</v>
      </c>
      <c r="C25" s="1" t="s">
        <v>33</v>
      </c>
      <c r="D25" s="1">
        <v>48.62</v>
      </c>
      <c r="E25" s="1" t="s">
        <v>37</v>
      </c>
      <c r="F25" s="1">
        <v>8.0000000000000002E-3</v>
      </c>
      <c r="G25" s="1">
        <v>0.52</v>
      </c>
      <c r="H25" s="1">
        <v>6</v>
      </c>
      <c r="I25" s="6"/>
      <c r="J25" s="7"/>
      <c r="K25" s="43">
        <v>1</v>
      </c>
      <c r="L25" s="44">
        <f>Table1[[#This Row],[Stall current draw]]*K25</f>
        <v>6</v>
      </c>
      <c r="M25" s="43"/>
      <c r="N25" s="44"/>
      <c r="O25" s="45"/>
      <c r="P25" s="8"/>
    </row>
    <row r="26" spans="2:16" x14ac:dyDescent="0.25">
      <c r="B26" t="s">
        <v>18</v>
      </c>
      <c r="C26" s="1" t="s">
        <v>33</v>
      </c>
      <c r="D26" s="1">
        <v>48.62</v>
      </c>
      <c r="E26" s="1" t="s">
        <v>37</v>
      </c>
      <c r="F26" s="1">
        <v>8.0000000000000002E-3</v>
      </c>
      <c r="G26" s="1">
        <v>0.52</v>
      </c>
      <c r="H26" s="1">
        <v>6</v>
      </c>
      <c r="I26" s="6"/>
      <c r="J26" s="7"/>
      <c r="K26" s="43">
        <v>1</v>
      </c>
      <c r="L26" s="44">
        <f>Table1[[#This Row],[Stall current draw]]*K26</f>
        <v>6</v>
      </c>
      <c r="M26" s="43"/>
      <c r="N26" s="44"/>
      <c r="O26" s="46"/>
      <c r="P26" s="8"/>
    </row>
    <row r="27" spans="2:16" x14ac:dyDescent="0.25">
      <c r="B27" t="s">
        <v>21</v>
      </c>
      <c r="C27" s="1" t="s">
        <v>34</v>
      </c>
      <c r="D27" s="1">
        <v>11.63</v>
      </c>
      <c r="E27" s="1" t="s">
        <v>37</v>
      </c>
      <c r="F27" s="1">
        <v>0.01</v>
      </c>
      <c r="G27" s="1">
        <v>0.17</v>
      </c>
      <c r="H27" s="1">
        <v>1.2</v>
      </c>
      <c r="I27" s="6"/>
      <c r="J27" s="7"/>
      <c r="K27" s="31">
        <v>1</v>
      </c>
      <c r="L27" s="32">
        <f>Table1[[#This Row],[Stall current draw]]*K27</f>
        <v>1.2</v>
      </c>
      <c r="M27" s="31"/>
      <c r="N27" s="32"/>
      <c r="O27" s="33">
        <f>SUM(L27:L34)</f>
        <v>19.2</v>
      </c>
      <c r="P27" s="8"/>
    </row>
    <row r="28" spans="2:16" x14ac:dyDescent="0.25">
      <c r="B28" t="s">
        <v>22</v>
      </c>
      <c r="C28" s="1" t="s">
        <v>34</v>
      </c>
      <c r="D28" s="1">
        <v>11.63</v>
      </c>
      <c r="E28" s="1" t="s">
        <v>37</v>
      </c>
      <c r="F28" s="1">
        <v>0.01</v>
      </c>
      <c r="G28" s="1">
        <v>0.17</v>
      </c>
      <c r="H28" s="1">
        <v>1.2</v>
      </c>
      <c r="I28" s="6"/>
      <c r="J28" s="7"/>
      <c r="K28" s="34">
        <v>1</v>
      </c>
      <c r="L28" s="35">
        <f>Table1[[#This Row],[Stall current draw]]*K28</f>
        <v>1.2</v>
      </c>
      <c r="M28" s="34"/>
      <c r="N28" s="35"/>
      <c r="O28" s="36"/>
      <c r="P28" s="8"/>
    </row>
    <row r="29" spans="2:16" x14ac:dyDescent="0.25">
      <c r="B29" t="s">
        <v>23</v>
      </c>
      <c r="C29" s="1" t="s">
        <v>34</v>
      </c>
      <c r="D29" s="1">
        <v>11.63</v>
      </c>
      <c r="E29" s="1" t="s">
        <v>37</v>
      </c>
      <c r="F29" s="1">
        <v>0.01</v>
      </c>
      <c r="G29" s="1">
        <v>0.17</v>
      </c>
      <c r="H29" s="1">
        <v>1.2</v>
      </c>
      <c r="I29" s="6"/>
      <c r="J29" s="7"/>
      <c r="K29" s="34">
        <v>1</v>
      </c>
      <c r="L29" s="35">
        <f>Table1[[#This Row],[Stall current draw]]*K29</f>
        <v>1.2</v>
      </c>
      <c r="M29" s="34"/>
      <c r="N29" s="35"/>
      <c r="O29" s="36"/>
      <c r="P29" s="8"/>
    </row>
    <row r="30" spans="2:16" x14ac:dyDescent="0.25">
      <c r="B30" t="s">
        <v>24</v>
      </c>
      <c r="C30" s="1" t="s">
        <v>34</v>
      </c>
      <c r="D30" s="1">
        <v>11.63</v>
      </c>
      <c r="E30" s="1" t="s">
        <v>37</v>
      </c>
      <c r="F30" s="1">
        <v>0.01</v>
      </c>
      <c r="G30" s="1">
        <v>0.17</v>
      </c>
      <c r="H30" s="1">
        <v>1.2</v>
      </c>
      <c r="I30" s="6"/>
      <c r="J30" s="7"/>
      <c r="K30" s="34">
        <v>1</v>
      </c>
      <c r="L30" s="35">
        <f>Table1[[#This Row],[Stall current draw]]*K30</f>
        <v>1.2</v>
      </c>
      <c r="M30" s="34"/>
      <c r="N30" s="35"/>
      <c r="O30" s="36"/>
      <c r="P30" s="8"/>
    </row>
    <row r="31" spans="2:16" x14ac:dyDescent="0.25">
      <c r="B31" t="s">
        <v>25</v>
      </c>
      <c r="C31" s="1" t="s">
        <v>34</v>
      </c>
      <c r="D31" s="1">
        <v>11.63</v>
      </c>
      <c r="E31" s="1" t="s">
        <v>37</v>
      </c>
      <c r="F31" s="1">
        <v>0.01</v>
      </c>
      <c r="G31" s="1">
        <v>0.17</v>
      </c>
      <c r="H31" s="1">
        <v>1.2</v>
      </c>
      <c r="I31" s="6"/>
      <c r="J31" s="7"/>
      <c r="K31" s="34">
        <v>1</v>
      </c>
      <c r="L31" s="35">
        <f>Table1[[#This Row],[Stall current draw]]*K31</f>
        <v>1.2</v>
      </c>
      <c r="M31" s="34"/>
      <c r="N31" s="35"/>
      <c r="O31" s="36"/>
      <c r="P31" s="8"/>
    </row>
    <row r="32" spans="2:16" x14ac:dyDescent="0.25">
      <c r="B32" t="s">
        <v>26</v>
      </c>
      <c r="C32" s="1" t="s">
        <v>34</v>
      </c>
      <c r="D32" s="1">
        <v>11.63</v>
      </c>
      <c r="E32" s="1" t="s">
        <v>37</v>
      </c>
      <c r="F32" s="1">
        <v>0.01</v>
      </c>
      <c r="G32" s="1">
        <v>0.17</v>
      </c>
      <c r="H32" s="1">
        <v>1.2</v>
      </c>
      <c r="I32" s="6"/>
      <c r="J32" s="7"/>
      <c r="K32" s="34">
        <v>1</v>
      </c>
      <c r="L32" s="35">
        <f>Table1[[#This Row],[Stall current draw]]*K32</f>
        <v>1.2</v>
      </c>
      <c r="M32" s="34"/>
      <c r="N32" s="35"/>
      <c r="O32" s="36"/>
      <c r="P32" s="8"/>
    </row>
    <row r="33" spans="2:16" x14ac:dyDescent="0.25">
      <c r="B33" t="s">
        <v>27</v>
      </c>
      <c r="C33" s="1" t="s">
        <v>32</v>
      </c>
      <c r="D33" s="1">
        <v>69.989999999999995</v>
      </c>
      <c r="E33" s="1" t="s">
        <v>40</v>
      </c>
      <c r="F33" s="1">
        <v>8.0000000000000002E-3</v>
      </c>
      <c r="G33" s="1">
        <v>0.52</v>
      </c>
      <c r="H33" s="1">
        <v>6</v>
      </c>
      <c r="I33" s="6"/>
      <c r="J33" s="7"/>
      <c r="K33" s="34">
        <v>1</v>
      </c>
      <c r="L33" s="35">
        <f>Table1[[#This Row],[Stall current draw]]*K33</f>
        <v>6</v>
      </c>
      <c r="M33" s="34"/>
      <c r="N33" s="35"/>
      <c r="O33" s="36"/>
      <c r="P33" s="8"/>
    </row>
    <row r="34" spans="2:16" x14ac:dyDescent="0.25">
      <c r="B34" t="s">
        <v>28</v>
      </c>
      <c r="C34" s="1" t="s">
        <v>32</v>
      </c>
      <c r="D34" s="1">
        <v>69.989999999999995</v>
      </c>
      <c r="E34" s="1" t="s">
        <v>40</v>
      </c>
      <c r="F34" s="1">
        <v>8.0000000000000002E-3</v>
      </c>
      <c r="G34" s="1">
        <v>0.52</v>
      </c>
      <c r="H34" s="1">
        <v>6</v>
      </c>
      <c r="I34" s="6"/>
      <c r="J34" s="7"/>
      <c r="K34" s="37">
        <v>1</v>
      </c>
      <c r="L34" s="38">
        <f>Table1[[#This Row],[Stall current draw]]*K34</f>
        <v>6</v>
      </c>
      <c r="M34" s="37"/>
      <c r="N34" s="38"/>
      <c r="O34" s="39"/>
      <c r="P34" s="8"/>
    </row>
    <row r="35" spans="2:16" x14ac:dyDescent="0.25">
      <c r="C35" s="1"/>
      <c r="D35" s="1"/>
      <c r="E35" s="1"/>
      <c r="F35" s="1"/>
      <c r="G35" s="1"/>
      <c r="H35" s="1"/>
      <c r="I35" s="6"/>
      <c r="J35" s="7"/>
      <c r="K35" s="6"/>
      <c r="L35" s="8"/>
      <c r="M35" s="6"/>
      <c r="N35" s="8"/>
      <c r="O35" s="6"/>
      <c r="P35" s="8"/>
    </row>
    <row r="36" spans="2:16" x14ac:dyDescent="0.25">
      <c r="B36" t="s">
        <v>2</v>
      </c>
      <c r="C36" s="1" t="s">
        <v>34</v>
      </c>
      <c r="D36" s="1">
        <v>11.63</v>
      </c>
      <c r="E36" s="1" t="s">
        <v>37</v>
      </c>
      <c r="F36" s="1">
        <v>0.01</v>
      </c>
      <c r="G36" s="1">
        <v>0.17</v>
      </c>
      <c r="H36" s="1">
        <v>1.2</v>
      </c>
      <c r="I36" s="6">
        <v>1</v>
      </c>
      <c r="J36" s="7">
        <f>Table1[[#This Row],[Stall current draw]]*I36</f>
        <v>1.2</v>
      </c>
      <c r="K36" s="6"/>
      <c r="L36" s="8"/>
      <c r="M36" s="6"/>
      <c r="N36" s="8"/>
      <c r="O36" s="6"/>
      <c r="P36" s="8"/>
    </row>
    <row r="37" spans="2:16" x14ac:dyDescent="0.25">
      <c r="B37" t="s">
        <v>48</v>
      </c>
      <c r="C37" s="1" t="s">
        <v>49</v>
      </c>
      <c r="D37" s="1">
        <v>20</v>
      </c>
      <c r="E37" s="1" t="s">
        <v>50</v>
      </c>
      <c r="F37" s="1"/>
      <c r="G37" s="1">
        <v>1.7999999999999999E-2</v>
      </c>
      <c r="H37" s="1">
        <f>Table1[[#This Row],[No load operating current draw]]*24</f>
        <v>0.43199999999999994</v>
      </c>
      <c r="I37" s="6">
        <v>1</v>
      </c>
      <c r="J37" s="7">
        <f>Table1[[#This Row],[Stall current draw]]*I37</f>
        <v>0.43199999999999994</v>
      </c>
      <c r="K37" s="6"/>
      <c r="L37" s="8"/>
      <c r="M37" s="6"/>
      <c r="N37" s="8"/>
      <c r="O37" s="6"/>
      <c r="P37" s="8"/>
    </row>
    <row r="38" spans="2:16" x14ac:dyDescent="0.25">
      <c r="C38" s="1"/>
      <c r="D38" s="1"/>
      <c r="E38" s="1"/>
      <c r="F38" s="1"/>
      <c r="G38" s="1"/>
      <c r="H38" s="1"/>
      <c r="I38" s="6"/>
      <c r="J38" s="7"/>
      <c r="K38" s="6"/>
      <c r="L38" s="8"/>
      <c r="M38" s="6"/>
      <c r="N38" s="8"/>
      <c r="O38" s="6"/>
      <c r="P38" s="8"/>
    </row>
    <row r="39" spans="2:16" x14ac:dyDescent="0.25">
      <c r="C39" s="1"/>
      <c r="D39" s="1"/>
      <c r="E39" s="1"/>
      <c r="F39" s="1"/>
      <c r="G39" s="1"/>
      <c r="H39" s="1"/>
      <c r="I39" s="6"/>
      <c r="J39" s="7"/>
      <c r="K39" s="6"/>
      <c r="L39" s="8"/>
      <c r="M39" s="6"/>
      <c r="N39" s="8"/>
      <c r="O39" s="6"/>
      <c r="P39" s="8"/>
    </row>
    <row r="40" spans="2:16" x14ac:dyDescent="0.25">
      <c r="C40" s="1"/>
      <c r="D40" s="1"/>
      <c r="E40" s="1"/>
      <c r="F40" s="1"/>
      <c r="G40" s="1"/>
      <c r="H40" s="1"/>
      <c r="I40" s="9"/>
      <c r="J40" s="10"/>
      <c r="K40" s="9"/>
      <c r="L40" s="11"/>
      <c r="M40" s="9"/>
      <c r="N40" s="11"/>
      <c r="O40" s="9"/>
      <c r="P40" s="11"/>
    </row>
    <row r="41" spans="2:16" x14ac:dyDescent="0.25">
      <c r="J41">
        <f>SUM(J36:J37)</f>
        <v>1.6319999999999999</v>
      </c>
      <c r="K41" s="14">
        <f>SUM(L23:L34,L2:L3)</f>
        <v>43.919999999999995</v>
      </c>
      <c r="L41" s="14"/>
      <c r="M41" s="14">
        <f>SUM(N4:N7,N9:N20)</f>
        <v>57.600000000000016</v>
      </c>
      <c r="N41" s="14"/>
    </row>
  </sheetData>
  <mergeCells count="11">
    <mergeCell ref="O1:P1"/>
    <mergeCell ref="O13:O20"/>
    <mergeCell ref="O27:O34"/>
    <mergeCell ref="O24:O26"/>
    <mergeCell ref="O10:O12"/>
    <mergeCell ref="O4:O7"/>
    <mergeCell ref="I1:J1"/>
    <mergeCell ref="K1:L1"/>
    <mergeCell ref="M1:N1"/>
    <mergeCell ref="K41:L41"/>
    <mergeCell ref="M41:N41"/>
  </mergeCells>
  <conditionalFormatting sqref="O35:O40 O27 O21:O24 O13 O8:O10 O2:O4">
    <cfRule type="cellIs" dxfId="0" priority="1" operator="greaterThan">
      <formula>20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2023-10-12T23:05:06Z</dcterms:modified>
</cp:coreProperties>
</file>